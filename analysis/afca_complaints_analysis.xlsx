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\AFCA_Complaint_Case_Study_Starter\afca-complaint-case-study\analysis\"/>
    </mc:Choice>
  </mc:AlternateContent>
  <xr:revisionPtr revIDLastSave="0" documentId="13_ncr:1_{3D9AA33C-99BE-477E-A8AC-AD76EE251C57}" xr6:coauthVersionLast="47" xr6:coauthVersionMax="47" xr10:uidLastSave="{00000000-0000-0000-0000-000000000000}"/>
  <bookViews>
    <workbookView xWindow="-110" yWindow="-110" windowWidth="19420" windowHeight="10300" xr2:uid="{D4024B04-8987-4C0F-80E7-EB396D610198}"/>
  </bookViews>
  <sheets>
    <sheet name="Analysis" sheetId="1" r:id="rId1"/>
    <sheet name="Data" sheetId="2" r:id="rId2"/>
  </sheets>
  <definedNames>
    <definedName name="ExternalData_1" localSheetId="1" hidden="1">Data!$A$1:$F$13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1" l="1" a="1"/>
  <c r="D33" i="1" s="1"/>
  <c r="C33" i="1" a="1"/>
  <c r="C33" i="1" s="1"/>
  <c r="B33" i="1" a="1"/>
  <c r="B33" i="1" s="1"/>
  <c r="A33" i="1" a="1"/>
  <c r="A33" i="1" s="1"/>
  <c r="E20" i="1"/>
  <c r="E21" i="1"/>
  <c r="E22" i="1"/>
  <c r="C18" i="1"/>
  <c r="D18" i="1" s="1"/>
  <c r="C23" i="1"/>
  <c r="C24" i="1"/>
  <c r="D24" i="1" s="1"/>
  <c r="C25" i="1"/>
  <c r="D25" i="1" s="1"/>
  <c r="B16" i="1" a="1"/>
  <c r="B16" i="1" s="1"/>
  <c r="E18" i="1" s="1"/>
  <c r="A16" i="1" a="1"/>
  <c r="A16" i="1" s="1"/>
  <c r="B5" i="1"/>
  <c r="B6" i="1"/>
  <c r="B8" i="1"/>
  <c r="B10" i="1" s="1"/>
  <c r="B7" i="1"/>
  <c r="B9" i="1" s="1"/>
  <c r="C22" i="1" l="1"/>
  <c r="E19" i="1"/>
  <c r="E27" i="1"/>
  <c r="C26" i="1"/>
  <c r="D26" i="1" s="1"/>
  <c r="E26" i="1"/>
  <c r="C21" i="1"/>
  <c r="D23" i="1"/>
  <c r="E25" i="1"/>
  <c r="C20" i="1"/>
  <c r="D20" i="1" s="1"/>
  <c r="D22" i="1"/>
  <c r="E24" i="1"/>
  <c r="C27" i="1"/>
  <c r="D27" i="1" s="1"/>
  <c r="C19" i="1"/>
  <c r="D19" i="1" s="1"/>
  <c r="D21" i="1"/>
  <c r="E23" i="1"/>
  <c r="C17" i="1"/>
  <c r="D1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94440D-78E8-4C6E-BF67-04CFC5070D21}" keepAlive="1" name="Query - AFCA_Monthly_Complaints" description="Connection to the 'AFCA_Monthly_Complaints' query in the workbook." type="5" refreshedVersion="7" background="1" saveData="1">
    <dbPr connection="Provider=Microsoft.Mashup.OleDb.1;Data Source=$Workbook$;Location=AFCA_Monthly_Complaints;Extended Properties=&quot;&quot;" command="SELECT * FROM [AFCA_Monthly_Complai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<sst xmlns="http://schemas.openxmlformats.org/spreadsheetml/2006/main" count="45" uniqueCount="33">
  <si>
    <t>month</t>
  </si>
  <si>
    <t>financial_year</t>
  </si>
  <si>
    <t>complaints_received</t>
  </si>
  <si>
    <t>complaints_resolved_rr</t>
  </si>
  <si>
    <t>complaints_progressed</t>
  </si>
  <si>
    <t>complaints_closed</t>
  </si>
  <si>
    <t>2025-26</t>
  </si>
  <si>
    <t>AFCA complaint volume analysis</t>
  </si>
  <si>
    <t>Financial year 2025–26</t>
  </si>
  <si>
    <t>Metric</t>
  </si>
  <si>
    <t>Value</t>
  </si>
  <si>
    <t>Total complaints received</t>
  </si>
  <si>
    <t>Average complaints received per month</t>
  </si>
  <si>
    <t>Highest monthly complaints received</t>
  </si>
  <si>
    <t>Lowest monthly complaints received</t>
  </si>
  <si>
    <t>Highest-volume month</t>
  </si>
  <si>
    <t>Lowest-volume month</t>
  </si>
  <si>
    <t>Monthly demand trend</t>
  </si>
  <si>
    <t>Month</t>
  </si>
  <si>
    <t>Complaints received</t>
  </si>
  <si>
    <t>Monthly change</t>
  </si>
  <si>
    <t>Monthly change %</t>
  </si>
  <si>
    <t>Three-month average</t>
  </si>
  <si>
    <t>Process activity by month</t>
  </si>
  <si>
    <t>Resolved in R&amp;R</t>
  </si>
  <si>
    <t>Progressed to Case Management</t>
  </si>
  <si>
    <t>Closed at Case Management</t>
  </si>
  <si>
    <t>Source</t>
  </si>
  <si>
    <t>Australian Financial Complaints Authority (AFCA) Datacube</t>
  </si>
  <si>
    <t>https://data.afca.org.au/historical-comparison</t>
  </si>
  <si>
    <t>Period: 1 July 2025 to 30 June 2026</t>
  </si>
  <si>
    <t>Accessed: 20 September 2026</t>
  </si>
  <si>
    <t>Collection method: manually transcribed from chart tooltips and validated for record count, missing values and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</si>
</sst>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mmm\ yyyy"/>
    <numFmt numFmtId="166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sz val="14"/>
      <color rgb="FF1F4E7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 applyAlignment="1">
      <alignment horizontal="center"/>
    </xf>
    <xf numFmtId="164" fontId="0" fillId="3" borderId="1" xfId="1" applyNumberFormat="1" applyFont="1" applyFill="1" applyBorder="1"/>
    <xf numFmtId="165" fontId="0" fillId="3" borderId="1" xfId="0" applyNumberForma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</cellXfs>
  <cellStyles count="2">
    <cellStyle name="Comma" xfId="1" builtinId="3"/>
    <cellStyle name="Normal" xfId="0" builtinId="0"/>
  </cellStyles>
  <dxfs count="6">
    <dxf>
      <numFmt numFmtId="0" formatCode="General"/>
    </dxf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complaints received and three-month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Analysis!$B$15</c:f>
              <c:strCache>
                <c:ptCount val="1"/>
                <c:pt idx="0">
                  <c:v>Complaints received</c:v>
                </c:pt>
              </c:strCache>
            </c:strRef>
          </c:tx>
          <c:spPr>
            <a:ln w="25400" cap="rnd">
              <a:solidFill>
                <a:srgbClr val="1F4E7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Analysis!$A$16:$A$27</c:f>
              <c:numCache>
                <c:formatCode>mmm\ 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Analysis!$B$16:$B$27</c:f>
              <c:numCache>
                <c:formatCode>#,##0</c:formatCode>
                <c:ptCount val="12"/>
                <c:pt idx="0">
                  <c:v>10112</c:v>
                </c:pt>
                <c:pt idx="1">
                  <c:v>8862</c:v>
                </c:pt>
                <c:pt idx="2">
                  <c:v>9492</c:v>
                </c:pt>
                <c:pt idx="3">
                  <c:v>10135</c:v>
                </c:pt>
                <c:pt idx="4">
                  <c:v>8727</c:v>
                </c:pt>
                <c:pt idx="5">
                  <c:v>8267</c:v>
                </c:pt>
                <c:pt idx="6">
                  <c:v>9194</c:v>
                </c:pt>
                <c:pt idx="7">
                  <c:v>9649</c:v>
                </c:pt>
                <c:pt idx="8">
                  <c:v>10711</c:v>
                </c:pt>
                <c:pt idx="9">
                  <c:v>10527</c:v>
                </c:pt>
                <c:pt idx="10">
                  <c:v>10759</c:v>
                </c:pt>
                <c:pt idx="11">
                  <c:v>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8-4ABE-9C79-14A79357CF33}"/>
            </c:ext>
          </c:extLst>
        </c:ser>
        <c:ser>
          <c:idx val="1"/>
          <c:order val="1"/>
          <c:tx>
            <c:strRef>
              <c:f>Analysis!$E$15</c:f>
              <c:strCache>
                <c:ptCount val="1"/>
                <c:pt idx="0">
                  <c:v>Three-month average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Analysis!$E$16:$E$27</c:f>
              <c:numCache>
                <c:formatCode>#,##0</c:formatCode>
                <c:ptCount val="12"/>
                <c:pt idx="2">
                  <c:v>9488.6666666666661</c:v>
                </c:pt>
                <c:pt idx="3">
                  <c:v>9496.3333333333339</c:v>
                </c:pt>
                <c:pt idx="4">
                  <c:v>9451.3333333333339</c:v>
                </c:pt>
                <c:pt idx="5">
                  <c:v>9043</c:v>
                </c:pt>
                <c:pt idx="6">
                  <c:v>8729.3333333333339</c:v>
                </c:pt>
                <c:pt idx="7">
                  <c:v>9036.6666666666661</c:v>
                </c:pt>
                <c:pt idx="8">
                  <c:v>9851.3333333333339</c:v>
                </c:pt>
                <c:pt idx="9">
                  <c:v>10295.666666666666</c:v>
                </c:pt>
                <c:pt idx="10">
                  <c:v>10665.666666666666</c:v>
                </c:pt>
                <c:pt idx="11">
                  <c:v>10626.333333333334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8-4ABE-9C79-14A79357C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155936"/>
        <c:axId val="1328155104"/>
      </c:lineChart>
      <c:dateAx>
        <c:axId val="132815593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55104"/>
        <c:crosses val="autoZero"/>
        <c:auto val="1"/>
        <c:lblOffset val="100"/>
        <c:baseTimeUnit val="months"/>
      </c:dateAx>
      <c:valAx>
        <c:axId val="1328155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5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activity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Analysis!$B$32</c:f>
              <c:strCache>
                <c:ptCount val="1"/>
                <c:pt idx="0">
                  <c:v>Resolved in R&amp;R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Analysis!$A$33:$A$44</c:f>
              <c:numCache>
                <c:formatCode>mmm\ 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Analysis!$B$33:$B$44</c:f>
              <c:numCache>
                <c:formatCode>#,##0</c:formatCode>
                <c:ptCount val="12"/>
                <c:pt idx="0">
                  <c:v>6105</c:v>
                </c:pt>
                <c:pt idx="1">
                  <c:v>5102</c:v>
                </c:pt>
                <c:pt idx="2">
                  <c:v>4767</c:v>
                </c:pt>
                <c:pt idx="3">
                  <c:v>5031</c:v>
                </c:pt>
                <c:pt idx="4">
                  <c:v>4611</c:v>
                </c:pt>
                <c:pt idx="5">
                  <c:v>4800</c:v>
                </c:pt>
                <c:pt idx="6">
                  <c:v>4640</c:v>
                </c:pt>
                <c:pt idx="7">
                  <c:v>4175</c:v>
                </c:pt>
                <c:pt idx="8">
                  <c:v>5304</c:v>
                </c:pt>
                <c:pt idx="9">
                  <c:v>5077</c:v>
                </c:pt>
                <c:pt idx="10">
                  <c:v>5591</c:v>
                </c:pt>
                <c:pt idx="11">
                  <c:v>5239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9D-4BC6-929F-C47776D884DA}"/>
            </c:ext>
          </c:extLst>
        </c:ser>
        <c:ser>
          <c:idx val="1"/>
          <c:order val="1"/>
          <c:tx>
            <c:strRef>
              <c:f>Analysis!$C$32</c:f>
              <c:strCache>
                <c:ptCount val="1"/>
                <c:pt idx="0">
                  <c:v>Progressed to Case Management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Analysis!$A$33:$A$44</c:f>
              <c:numCache>
                <c:formatCode>mmm\ 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Analysis!$C$33:$C$44</c:f>
              <c:numCache>
                <c:formatCode>#,##0</c:formatCode>
                <c:ptCount val="12"/>
                <c:pt idx="0">
                  <c:v>6027</c:v>
                </c:pt>
                <c:pt idx="1">
                  <c:v>4437</c:v>
                </c:pt>
                <c:pt idx="2">
                  <c:v>4487</c:v>
                </c:pt>
                <c:pt idx="3">
                  <c:v>4917</c:v>
                </c:pt>
                <c:pt idx="4">
                  <c:v>4549</c:v>
                </c:pt>
                <c:pt idx="5">
                  <c:v>4361</c:v>
                </c:pt>
                <c:pt idx="6">
                  <c:v>4340</c:v>
                </c:pt>
                <c:pt idx="7">
                  <c:v>4005</c:v>
                </c:pt>
                <c:pt idx="8">
                  <c:v>5195</c:v>
                </c:pt>
                <c:pt idx="9">
                  <c:v>5061</c:v>
                </c:pt>
                <c:pt idx="10">
                  <c:v>5535</c:v>
                </c:pt>
                <c:pt idx="11">
                  <c:v>5513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9D-4BC6-929F-C47776D884DA}"/>
            </c:ext>
          </c:extLst>
        </c:ser>
        <c:ser>
          <c:idx val="2"/>
          <c:order val="2"/>
          <c:tx>
            <c:strRef>
              <c:f>Analysis!$D$32</c:f>
              <c:strCache>
                <c:ptCount val="1"/>
                <c:pt idx="0">
                  <c:v>Closed at Case Management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Analysis!$A$33:$A$44</c:f>
              <c:numCache>
                <c:formatCode>mmm\ yyyy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Analysis!$D$33:$D$44</c:f>
              <c:numCache>
                <c:formatCode>#,##0</c:formatCode>
                <c:ptCount val="12"/>
                <c:pt idx="0">
                  <c:v>4706</c:v>
                </c:pt>
                <c:pt idx="1">
                  <c:v>4536</c:v>
                </c:pt>
                <c:pt idx="2">
                  <c:v>4533</c:v>
                </c:pt>
                <c:pt idx="3">
                  <c:v>5063</c:v>
                </c:pt>
                <c:pt idx="4">
                  <c:v>3863</c:v>
                </c:pt>
                <c:pt idx="5">
                  <c:v>3424</c:v>
                </c:pt>
                <c:pt idx="6">
                  <c:v>3399</c:v>
                </c:pt>
                <c:pt idx="7">
                  <c:v>3975</c:v>
                </c:pt>
                <c:pt idx="8">
                  <c:v>4397</c:v>
                </c:pt>
                <c:pt idx="9">
                  <c:v>4323</c:v>
                </c:pt>
                <c:pt idx="10">
                  <c:v>4725</c:v>
                </c:pt>
                <c:pt idx="11">
                  <c:v>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9D-4BC6-929F-C47776D88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2465392"/>
        <c:axId val="1712469136"/>
      </c:lineChart>
      <c:dateAx>
        <c:axId val="171246539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469136"/>
        <c:crosses val="autoZero"/>
        <c:auto val="1"/>
        <c:lblOffset val="100"/>
        <c:baseTimeUnit val="months"/>
      </c:dateAx>
      <c:valAx>
        <c:axId val="17124691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46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453571</xdr:colOff>
      <xdr:row>1</xdr:row>
      <xdr:rowOff>9525</xdr:rowOff>
    </xdr:from>
    <xdr:to>
      <xdr:col>6</xdr:col>
      <xdr:colOff>332619</xdr:colOff>
      <xdr:row>13</xdr:row>
      <xdr:rowOff>120952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CBF7D-7402-471C-A48A-1CA89D5E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29</xdr:row>
      <xdr:rowOff>9525</xdr:rowOff>
    </xdr:from>
    <xdr:to>
      <xdr:col>11</xdr:col>
      <xdr:colOff>431800</xdr:colOff>
      <xdr:row>41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690F50-FBB2-4FF1-A249-231CDAA95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B11B19-6A0D-4000-B0AE-8AAFAF548BE8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financial_year" tableColumnId="2"/>
      <queryTableField id="3" name="complaints_received" tableColumnId="3"/>
      <queryTableField id="4" name="complaints_resolved_rr" tableColumnId="4"/>
      <queryTableField id="5" name="complaints_progressed" tableColumnId="5"/>
      <queryTableField id="6" name="complaints_close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F1E80B-4A97-48F1-ABDF-BABC2163F94D}" name="tblAFCAComplaints" displayName="tblAFCAComplaints" ref="A1:F13" tableType="queryTable" totalsRowShown="0">
  <autoFilter ref="A1:F13" xr:uid="{70F1E80B-4A97-48F1-ABDF-BABC2163F94D}"/>
  <tableColumns count="6">
    <tableColumn id="1" xr3:uid="{EDE8FAB1-7F8A-4FFE-AB6C-A82E466C497D}" uniqueName="1" name="month" queryTableFieldId="1" dataDxfId="1"/>
    <tableColumn id="2" xr3:uid="{71F76F36-2125-4A33-99A4-2F6B2CB20F5A}" uniqueName="2" name="financial_year" queryTableFieldId="2" dataDxfId="0"/>
    <tableColumn id="3" xr3:uid="{1EA36246-188E-41E9-9B58-CFB83080C69D}" uniqueName="3" name="complaints_received" queryTableFieldId="3"/>
    <tableColumn id="4" xr3:uid="{FE784E7B-742D-4F17-A0C1-131F5BA34EEA}" uniqueName="4" name="complaints_resolved_rr" queryTableFieldId="4"/>
    <tableColumn id="5" xr3:uid="{FE3F9008-7A33-4C6C-95FD-28253E8B5DE2}" uniqueName="5" name="complaints_progressed" queryTableFieldId="5"/>
    <tableColumn id="6" xr3:uid="{0205FDD4-CE7E-4920-8B81-D3E88C459C08}" uniqueName="6" name="complaints_close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ACCC-5BE6-49D5-A741-FE6FFCF026C1}">
  <dimension ref="A1:H44"/>
  <sheetViews>
    <sheetView showGridLines="0" tabSelected="1" topLeftCell="A17" zoomScale="67" zoomScaleNormal="96" workbookViewId="0">
      <selection activeCell="H20" sqref="H20"/>
    </sheetView>
  </sheetViews>
  <sheetFormatPr defaultRowHeight="14.5" x14ac:dyDescent="0.35"/>
  <cols>
    <col min="1" max="1" width="45.7265625" bestFit="1" customWidth="1"/>
    <col min="2" max="2" width="17.90625" bestFit="1" customWidth="1"/>
    <col min="3" max="3" width="28.7265625" bestFit="1" customWidth="1"/>
    <col min="4" max="4" width="24.81640625" bestFit="1" customWidth="1"/>
    <col min="5" max="5" width="19.08984375" bestFit="1" customWidth="1"/>
    <col min="8" max="8" width="57.453125" customWidth="1"/>
  </cols>
  <sheetData>
    <row r="1" spans="1:8" ht="23.5" x14ac:dyDescent="0.55000000000000004">
      <c r="A1" s="7" t="s">
        <v>7</v>
      </c>
      <c r="H1" s="5" t="s">
        <v>27</v>
      </c>
    </row>
    <row r="2" spans="1:8" x14ac:dyDescent="0.35">
      <c r="A2" s="8" t="s">
        <v>8</v>
      </c>
      <c r="H2" s="6" t="s">
        <v>28</v>
      </c>
    </row>
    <row r="3" spans="1:8" x14ac:dyDescent="0.35">
      <c r="H3" s="6" t="s">
        <v>29</v>
      </c>
    </row>
    <row r="4" spans="1:8" x14ac:dyDescent="0.35">
      <c r="A4" s="13" t="s">
        <v>9</v>
      </c>
      <c r="B4" s="13" t="s">
        <v>10</v>
      </c>
      <c r="H4" s="6" t="s">
        <v>30</v>
      </c>
    </row>
    <row r="5" spans="1:8" x14ac:dyDescent="0.35">
      <c r="A5" s="14" t="s">
        <v>11</v>
      </c>
      <c r="B5" s="11">
        <f>SUM(tblAFCAComplaints[complaints_received])</f>
        <v>117028</v>
      </c>
      <c r="H5" s="6" t="s">
        <v>31</v>
      </c>
    </row>
    <row r="6" spans="1:8" ht="29" x14ac:dyDescent="0.35">
      <c r="A6" s="14" t="s">
        <v>12</v>
      </c>
      <c r="B6" s="11">
        <f>AVERAGE(tblAFCAComplaints[complaints_received])</f>
        <v>9752.3333333333339</v>
      </c>
      <c r="H6" s="6" t="s">
        <v>32</v>
      </c>
    </row>
    <row r="7" spans="1:8" x14ac:dyDescent="0.35">
      <c r="A7" s="14" t="s">
        <v>13</v>
      </c>
      <c r="B7" s="11">
        <f>MAX(tblAFCAComplaints[complaints_received])</f>
        <v>10759</v>
      </c>
    </row>
    <row r="8" spans="1:8" x14ac:dyDescent="0.35">
      <c r="A8" s="14" t="s">
        <v>14</v>
      </c>
      <c r="B8" s="11">
        <f>MIN(tblAFCAComplaints[complaints_received])</f>
        <v>8267</v>
      </c>
    </row>
    <row r="9" spans="1:8" x14ac:dyDescent="0.35">
      <c r="A9" s="14" t="s">
        <v>15</v>
      </c>
      <c r="B9" s="12">
        <f>_xlfn.XLOOKUP(B7,tblAFCAComplaints[complaints_received],tblAFCAComplaints[month],"")</f>
        <v>46143</v>
      </c>
    </row>
    <row r="10" spans="1:8" x14ac:dyDescent="0.35">
      <c r="A10" s="14" t="s">
        <v>16</v>
      </c>
      <c r="B10" s="12">
        <f>_xlfn.XLOOKUP(B8,tblAFCAComplaints[complaints_received],tblAFCAComplaints[month],"")</f>
        <v>45992</v>
      </c>
    </row>
    <row r="13" spans="1:8" ht="18.5" x14ac:dyDescent="0.45">
      <c r="A13" s="9" t="s">
        <v>17</v>
      </c>
    </row>
    <row r="15" spans="1:8" x14ac:dyDescent="0.35">
      <c r="A15" s="10" t="s">
        <v>18</v>
      </c>
      <c r="B15" s="10" t="s">
        <v>19</v>
      </c>
      <c r="C15" s="10" t="s">
        <v>20</v>
      </c>
      <c r="D15" s="10" t="s">
        <v>21</v>
      </c>
      <c r="E15" s="10" t="s">
        <v>22</v>
      </c>
    </row>
    <row r="16" spans="1:8" x14ac:dyDescent="0.35">
      <c r="A16" s="2" cm="1">
        <f t="array" ref="A16:A27">tblAFCAComplaints[month]</f>
        <v>45839</v>
      </c>
      <c r="B16" s="3" cm="1">
        <f t="array" ref="B16:B27">tblAFCAComplaints[complaints_received]</f>
        <v>10112</v>
      </c>
    </row>
    <row r="17" spans="1:5" x14ac:dyDescent="0.35">
      <c r="A17" s="2">
        <v>45870</v>
      </c>
      <c r="B17" s="3">
        <v>8862</v>
      </c>
      <c r="C17" s="3">
        <f>B17-B16</f>
        <v>-1250</v>
      </c>
      <c r="D17" s="4">
        <f>IF(B16=0,"",C17/B16)</f>
        <v>-0.12361550632911393</v>
      </c>
      <c r="E17" s="3"/>
    </row>
    <row r="18" spans="1:5" x14ac:dyDescent="0.35">
      <c r="A18" s="2">
        <v>45901</v>
      </c>
      <c r="B18" s="3">
        <v>9492</v>
      </c>
      <c r="C18" s="3">
        <f t="shared" ref="C18:C27" si="0">B18-B17</f>
        <v>630</v>
      </c>
      <c r="D18" s="4">
        <f t="shared" ref="D18:D27" si="1">IF(B17=0,"",C18/B17)</f>
        <v>7.1090047393364927E-2</v>
      </c>
      <c r="E18" s="3">
        <f>AVERAGE(B16:B18)</f>
        <v>9488.6666666666661</v>
      </c>
    </row>
    <row r="19" spans="1:5" x14ac:dyDescent="0.35">
      <c r="A19" s="2">
        <v>45931</v>
      </c>
      <c r="B19" s="3">
        <v>10135</v>
      </c>
      <c r="C19" s="3">
        <f t="shared" si="0"/>
        <v>643</v>
      </c>
      <c r="D19" s="4">
        <f t="shared" si="1"/>
        <v>6.7741255794353139E-2</v>
      </c>
      <c r="E19" s="3">
        <f t="shared" ref="E19:E27" si="2">AVERAGE(B17:B19)</f>
        <v>9496.3333333333339</v>
      </c>
    </row>
    <row r="20" spans="1:5" x14ac:dyDescent="0.35">
      <c r="A20" s="2">
        <v>45962</v>
      </c>
      <c r="B20" s="3">
        <v>8727</v>
      </c>
      <c r="C20" s="3">
        <f t="shared" si="0"/>
        <v>-1408</v>
      </c>
      <c r="D20" s="4">
        <f t="shared" si="1"/>
        <v>-0.13892451899358657</v>
      </c>
      <c r="E20" s="3">
        <f t="shared" si="2"/>
        <v>9451.3333333333339</v>
      </c>
    </row>
    <row r="21" spans="1:5" x14ac:dyDescent="0.35">
      <c r="A21" s="2">
        <v>45992</v>
      </c>
      <c r="B21" s="3">
        <v>8267</v>
      </c>
      <c r="C21" s="3">
        <f t="shared" si="0"/>
        <v>-460</v>
      </c>
      <c r="D21" s="4">
        <f t="shared" si="1"/>
        <v>-5.2709980520224589E-2</v>
      </c>
      <c r="E21" s="3">
        <f t="shared" si="2"/>
        <v>9043</v>
      </c>
    </row>
    <row r="22" spans="1:5" x14ac:dyDescent="0.35">
      <c r="A22" s="2">
        <v>46023</v>
      </c>
      <c r="B22" s="3">
        <v>9194</v>
      </c>
      <c r="C22" s="3">
        <f t="shared" si="0"/>
        <v>927</v>
      </c>
      <c r="D22" s="4">
        <f t="shared" si="1"/>
        <v>0.11213257529938309</v>
      </c>
      <c r="E22" s="3">
        <f t="shared" si="2"/>
        <v>8729.3333333333339</v>
      </c>
    </row>
    <row r="23" spans="1:5" x14ac:dyDescent="0.35">
      <c r="A23" s="2">
        <v>46054</v>
      </c>
      <c r="B23" s="3">
        <v>9649</v>
      </c>
      <c r="C23" s="3">
        <f t="shared" si="0"/>
        <v>455</v>
      </c>
      <c r="D23" s="4">
        <f t="shared" si="1"/>
        <v>4.9488797041548835E-2</v>
      </c>
      <c r="E23" s="3">
        <f t="shared" si="2"/>
        <v>9036.6666666666661</v>
      </c>
    </row>
    <row r="24" spans="1:5" x14ac:dyDescent="0.35">
      <c r="A24" s="2">
        <v>46082</v>
      </c>
      <c r="B24" s="3">
        <v>10711</v>
      </c>
      <c r="C24" s="3">
        <f t="shared" si="0"/>
        <v>1062</v>
      </c>
      <c r="D24" s="4">
        <f t="shared" si="1"/>
        <v>0.11006321898642346</v>
      </c>
      <c r="E24" s="3">
        <f t="shared" si="2"/>
        <v>9851.3333333333339</v>
      </c>
    </row>
    <row r="25" spans="1:5" x14ac:dyDescent="0.35">
      <c r="A25" s="2">
        <v>46113</v>
      </c>
      <c r="B25" s="3">
        <v>10527</v>
      </c>
      <c r="C25" s="3">
        <f t="shared" si="0"/>
        <v>-184</v>
      </c>
      <c r="D25" s="4">
        <f t="shared" si="1"/>
        <v>-1.7178601437774249E-2</v>
      </c>
      <c r="E25" s="3">
        <f t="shared" si="2"/>
        <v>10295.666666666666</v>
      </c>
    </row>
    <row r="26" spans="1:5" x14ac:dyDescent="0.35">
      <c r="A26" s="2">
        <v>46143</v>
      </c>
      <c r="B26" s="3">
        <v>10759</v>
      </c>
      <c r="C26" s="3">
        <f t="shared" si="0"/>
        <v>232</v>
      </c>
      <c r="D26" s="4">
        <f t="shared" si="1"/>
        <v>2.2038567493112948E-2</v>
      </c>
      <c r="E26" s="3">
        <f t="shared" si="2"/>
        <v>10665.666666666666</v>
      </c>
    </row>
    <row r="27" spans="1:5" x14ac:dyDescent="0.35">
      <c r="A27" s="2">
        <v>46174</v>
      </c>
      <c r="B27" s="3">
        <v>10593</v>
      </c>
      <c r="C27" s="3">
        <f t="shared" si="0"/>
        <v>-166</v>
      </c>
      <c r="D27" s="4">
        <f t="shared" si="1"/>
        <v>-1.5428943210335532E-2</v>
      </c>
      <c r="E27" s="3">
        <f t="shared" si="2"/>
        <v>10626.333333333334</v>
      </c>
    </row>
    <row r="30" spans="1:5" ht="18.5" x14ac:dyDescent="0.45">
      <c r="A30" s="9" t="s">
        <v>23</v>
      </c>
    </row>
    <row r="32" spans="1:5" x14ac:dyDescent="0.35">
      <c r="A32" s="10" t="s">
        <v>18</v>
      </c>
      <c r="B32" s="10" t="s">
        <v>24</v>
      </c>
      <c r="C32" s="10" t="s">
        <v>25</v>
      </c>
      <c r="D32" s="10" t="s">
        <v>26</v>
      </c>
    </row>
    <row r="33" spans="1:4" x14ac:dyDescent="0.35">
      <c r="A33" s="2" cm="1">
        <f t="array" ref="A33:A44">tblAFCAComplaints[month]</f>
        <v>45839</v>
      </c>
      <c r="B33" s="3" cm="1">
        <f t="array" ref="B33:B44">tblAFCAComplaints[complaints_resolved_rr]</f>
        <v>6105</v>
      </c>
      <c r="C33" s="3" cm="1">
        <f t="array" ref="C33:C44">tblAFCAComplaints[complaints_progressed]</f>
        <v>6027</v>
      </c>
      <c r="D33" s="3" cm="1">
        <f t="array" ref="D33:D44">tblAFCAComplaints[complaints_closed]</f>
        <v>4706</v>
      </c>
    </row>
    <row r="34" spans="1:4" x14ac:dyDescent="0.35">
      <c r="A34" s="2">
        <v>45870</v>
      </c>
      <c r="B34" s="3">
        <v>5102</v>
      </c>
      <c r="C34" s="3">
        <v>4437</v>
      </c>
      <c r="D34" s="3">
        <v>4536</v>
      </c>
    </row>
    <row r="35" spans="1:4" x14ac:dyDescent="0.35">
      <c r="A35" s="2">
        <v>45901</v>
      </c>
      <c r="B35" s="3">
        <v>4767</v>
      </c>
      <c r="C35" s="3">
        <v>4487</v>
      </c>
      <c r="D35" s="3">
        <v>4533</v>
      </c>
    </row>
    <row r="36" spans="1:4" x14ac:dyDescent="0.35">
      <c r="A36" s="2">
        <v>45931</v>
      </c>
      <c r="B36" s="3">
        <v>5031</v>
      </c>
      <c r="C36" s="3">
        <v>4917</v>
      </c>
      <c r="D36" s="3">
        <v>5063</v>
      </c>
    </row>
    <row r="37" spans="1:4" x14ac:dyDescent="0.35">
      <c r="A37" s="2">
        <v>45962</v>
      </c>
      <c r="B37" s="3">
        <v>4611</v>
      </c>
      <c r="C37" s="3">
        <v>4549</v>
      </c>
      <c r="D37" s="3">
        <v>3863</v>
      </c>
    </row>
    <row r="38" spans="1:4" x14ac:dyDescent="0.35">
      <c r="A38" s="2">
        <v>45992</v>
      </c>
      <c r="B38" s="3">
        <v>4800</v>
      </c>
      <c r="C38" s="3">
        <v>4361</v>
      </c>
      <c r="D38" s="3">
        <v>3424</v>
      </c>
    </row>
    <row r="39" spans="1:4" x14ac:dyDescent="0.35">
      <c r="A39" s="2">
        <v>46023</v>
      </c>
      <c r="B39" s="3">
        <v>4640</v>
      </c>
      <c r="C39" s="3">
        <v>4340</v>
      </c>
      <c r="D39" s="3">
        <v>3399</v>
      </c>
    </row>
    <row r="40" spans="1:4" x14ac:dyDescent="0.35">
      <c r="A40" s="2">
        <v>46054</v>
      </c>
      <c r="B40" s="3">
        <v>4175</v>
      </c>
      <c r="C40" s="3">
        <v>4005</v>
      </c>
      <c r="D40" s="3">
        <v>3975</v>
      </c>
    </row>
    <row r="41" spans="1:4" x14ac:dyDescent="0.35">
      <c r="A41" s="2">
        <v>46082</v>
      </c>
      <c r="B41" s="3">
        <v>5304</v>
      </c>
      <c r="C41" s="3">
        <v>5195</v>
      </c>
      <c r="D41" s="3">
        <v>4397</v>
      </c>
    </row>
    <row r="42" spans="1:4" x14ac:dyDescent="0.35">
      <c r="A42" s="2">
        <v>46113</v>
      </c>
      <c r="B42" s="3">
        <v>5077</v>
      </c>
      <c r="C42" s="3">
        <v>5061</v>
      </c>
      <c r="D42" s="3">
        <v>4323</v>
      </c>
    </row>
    <row r="43" spans="1:4" x14ac:dyDescent="0.35">
      <c r="A43" s="2">
        <v>46143</v>
      </c>
      <c r="B43" s="3">
        <v>5591</v>
      </c>
      <c r="C43" s="3">
        <v>5535</v>
      </c>
      <c r="D43" s="3">
        <v>4725</v>
      </c>
    </row>
    <row r="44" spans="1:4" x14ac:dyDescent="0.35">
      <c r="A44" s="2">
        <v>46174</v>
      </c>
      <c r="B44" s="3">
        <v>5239</v>
      </c>
      <c r="C44" s="3">
        <v>5513</v>
      </c>
      <c r="D44" s="3">
        <v>5071</v>
      </c>
    </row>
  </sheetData>
  <conditionalFormatting sqref="D18:D27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D17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8D18-62A2-4CA0-AD5C-E7D942825E7F}">
  <dimension ref="A1:F13"/>
  <sheetViews>
    <sheetView workbookViewId="0">
      <selection activeCell="D13" sqref="D13"/>
    </sheetView>
  </sheetViews>
  <sheetFormatPr defaultRowHeight="14.5" x14ac:dyDescent="0.35"/>
  <cols>
    <col min="1" max="1" width="9.453125" bestFit="1" customWidth="1"/>
    <col min="2" max="2" width="14.7265625" bestFit="1" customWidth="1"/>
    <col min="3" max="3" width="20.453125" bestFit="1" customWidth="1"/>
    <col min="4" max="4" width="23" bestFit="1" customWidth="1"/>
    <col min="5" max="5" width="22.7265625" bestFit="1" customWidth="1"/>
    <col min="6" max="6" width="18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45839</v>
      </c>
      <c r="B2" t="s">
        <v>6</v>
      </c>
      <c r="C2">
        <v>10112</v>
      </c>
      <c r="D2">
        <v>6105</v>
      </c>
      <c r="E2">
        <v>6027</v>
      </c>
      <c r="F2">
        <v>4706</v>
      </c>
    </row>
    <row r="3" spans="1:6" x14ac:dyDescent="0.35">
      <c r="A3" s="1">
        <v>45870</v>
      </c>
      <c r="B3" t="s">
        <v>6</v>
      </c>
      <c r="C3">
        <v>8862</v>
      </c>
      <c r="D3">
        <v>5102</v>
      </c>
      <c r="E3">
        <v>4437</v>
      </c>
      <c r="F3">
        <v>4536</v>
      </c>
    </row>
    <row r="4" spans="1:6" x14ac:dyDescent="0.35">
      <c r="A4" s="1">
        <v>45901</v>
      </c>
      <c r="B4" t="s">
        <v>6</v>
      </c>
      <c r="C4">
        <v>9492</v>
      </c>
      <c r="D4">
        <v>4767</v>
      </c>
      <c r="E4">
        <v>4487</v>
      </c>
      <c r="F4">
        <v>4533</v>
      </c>
    </row>
    <row r="5" spans="1:6" x14ac:dyDescent="0.35">
      <c r="A5" s="1">
        <v>45931</v>
      </c>
      <c r="B5" t="s">
        <v>6</v>
      </c>
      <c r="C5">
        <v>10135</v>
      </c>
      <c r="D5">
        <v>5031</v>
      </c>
      <c r="E5">
        <v>4917</v>
      </c>
      <c r="F5">
        <v>5063</v>
      </c>
    </row>
    <row r="6" spans="1:6" x14ac:dyDescent="0.35">
      <c r="A6" s="1">
        <v>45962</v>
      </c>
      <c r="B6" t="s">
        <v>6</v>
      </c>
      <c r="C6">
        <v>8727</v>
      </c>
      <c r="D6">
        <v>4611</v>
      </c>
      <c r="E6">
        <v>4549</v>
      </c>
      <c r="F6">
        <v>3863</v>
      </c>
    </row>
    <row r="7" spans="1:6" x14ac:dyDescent="0.35">
      <c r="A7" s="1">
        <v>45992</v>
      </c>
      <c r="B7" t="s">
        <v>6</v>
      </c>
      <c r="C7">
        <v>8267</v>
      </c>
      <c r="D7">
        <v>4800</v>
      </c>
      <c r="E7">
        <v>4361</v>
      </c>
      <c r="F7">
        <v>3424</v>
      </c>
    </row>
    <row r="8" spans="1:6" x14ac:dyDescent="0.35">
      <c r="A8" s="1">
        <v>46023</v>
      </c>
      <c r="B8" t="s">
        <v>6</v>
      </c>
      <c r="C8">
        <v>9194</v>
      </c>
      <c r="D8">
        <v>4640</v>
      </c>
      <c r="E8">
        <v>4340</v>
      </c>
      <c r="F8">
        <v>3399</v>
      </c>
    </row>
    <row r="9" spans="1:6" x14ac:dyDescent="0.35">
      <c r="A9" s="1">
        <v>46054</v>
      </c>
      <c r="B9" t="s">
        <v>6</v>
      </c>
      <c r="C9">
        <v>9649</v>
      </c>
      <c r="D9">
        <v>4175</v>
      </c>
      <c r="E9">
        <v>4005</v>
      </c>
      <c r="F9">
        <v>3975</v>
      </c>
    </row>
    <row r="10" spans="1:6" x14ac:dyDescent="0.35">
      <c r="A10" s="1">
        <v>46082</v>
      </c>
      <c r="B10" t="s">
        <v>6</v>
      </c>
      <c r="C10">
        <v>10711</v>
      </c>
      <c r="D10">
        <v>5304</v>
      </c>
      <c r="E10">
        <v>5195</v>
      </c>
      <c r="F10">
        <v>4397</v>
      </c>
    </row>
    <row r="11" spans="1:6" x14ac:dyDescent="0.35">
      <c r="A11" s="1">
        <v>46113</v>
      </c>
      <c r="B11" t="s">
        <v>6</v>
      </c>
      <c r="C11">
        <v>10527</v>
      </c>
      <c r="D11">
        <v>5077</v>
      </c>
      <c r="E11">
        <v>5061</v>
      </c>
      <c r="F11">
        <v>4323</v>
      </c>
    </row>
    <row r="12" spans="1:6" x14ac:dyDescent="0.35">
      <c r="A12" s="1">
        <v>46143</v>
      </c>
      <c r="B12" t="s">
        <v>6</v>
      </c>
      <c r="C12">
        <v>10759</v>
      </c>
      <c r="D12">
        <v>5591</v>
      </c>
      <c r="E12">
        <v>5535</v>
      </c>
      <c r="F12">
        <v>4725</v>
      </c>
    </row>
    <row r="13" spans="1:6" x14ac:dyDescent="0.35">
      <c r="A13" s="1">
        <v>46174</v>
      </c>
      <c r="B13" t="s">
        <v>6</v>
      </c>
      <c r="C13">
        <v>10593</v>
      </c>
      <c r="D13">
        <v>5239</v>
      </c>
      <c r="E13">
        <v>5513</v>
      </c>
      <c r="F13">
        <v>5071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2EF52-EBE0-4219-AD95-BD398EB07D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Talash Taher</dc:creator>
  <cp:lastModifiedBy>Talash Taher</cp:lastModifiedBy>
  <dcterms:created xsi:type="dcterms:W3CDTF">2026-09-20T22:54:47Z</dcterms:created>
  <dcterms:modified xsi:type="dcterms:W3CDTF">2026-09-21T03:54:35Z</dcterms:modified>
</cp:coreProperties>
</file>